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getti\FRANTOIO\"/>
    </mc:Choice>
  </mc:AlternateContent>
  <xr:revisionPtr revIDLastSave="0" documentId="13_ncr:1_{C5475F86-F9D0-4C83-9CCE-1587FB7A45D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ASCHE" sheetId="1" r:id="rId1"/>
    <sheet name="QUALITA" sheetId="2" r:id="rId2"/>
    <sheet name="ANALISI" sheetId="3" r:id="rId3"/>
  </sheets>
  <calcPr calcId="181029"/>
</workbook>
</file>

<file path=xl/calcChain.xml><?xml version="1.0" encoding="utf-8"?>
<calcChain xmlns="http://schemas.openxmlformats.org/spreadsheetml/2006/main">
  <c r="E88" i="1" l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<sst xmlns="http://schemas.openxmlformats.org/spreadsheetml/2006/main" count="226" uniqueCount="145">
  <si>
    <t>vasca</t>
  </si>
  <si>
    <t>TIPO</t>
  </si>
  <si>
    <t>CAPACITA' KG</t>
  </si>
  <si>
    <t>CAPACITA' LT</t>
  </si>
  <si>
    <t>BATTENTE</t>
  </si>
  <si>
    <t>INOX</t>
  </si>
  <si>
    <t>BIDONE</t>
  </si>
  <si>
    <t>CUBO</t>
  </si>
  <si>
    <t>1R</t>
  </si>
  <si>
    <t>A</t>
  </si>
  <si>
    <t>B</t>
  </si>
  <si>
    <t>C1</t>
  </si>
  <si>
    <t>C2</t>
  </si>
  <si>
    <t>NO BATTENTE</t>
  </si>
  <si>
    <t>G</t>
  </si>
  <si>
    <t>SEMPREPIENO</t>
  </si>
  <si>
    <t>P01</t>
  </si>
  <si>
    <t>PRIVATI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</si>
  <si>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</si>
  <si>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</si>
  <si>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</si>
  <si>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</si>
  <si>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</si>
  <si>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</si>
  <si>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</si>
  <si>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</si>
  <si>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</si>
  <si>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</si>
  <si>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</si>
  <si>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</si>
  <si>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</si>
  <si>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</si>
  <si>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</si>
  <si>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PXX</t>
  </si>
  <si>
    <t>CIST COMAI</t>
  </si>
  <si>
    <t>ID1</t>
  </si>
  <si>
    <t>ID2</t>
  </si>
  <si>
    <t>ID3</t>
  </si>
  <si>
    <t>ID6</t>
  </si>
  <si>
    <t>ID7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</si>
  <si>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</si>
  <si>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</si>
  <si>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</si>
  <si>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</si>
  <si>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</si>
  <si>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</si>
  <si>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</si>
  <si>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</si>
  <si>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</si>
  <si>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</si>
  <si>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</si>
  <si>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</si>
  <si>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</si>
  <si>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</si>
  <si>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</si>
  <si>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</si>
  <si>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</si>
  <si>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</si>
  <si>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</si>
  <si>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ID30</t>
  </si>
  <si>
    <t>ID31</t>
  </si>
  <si>
    <t>ID32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</si>
  <si>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</si>
  <si>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</si>
  <si>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</si>
  <si>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</si>
  <si>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</si>
  <si>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</si>
  <si>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</si>
  <si>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</si>
  <si>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</si>
  <si>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</si>
  <si>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</si>
  <si>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</si>
  <si>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</si>
  <si>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</si>
  <si>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</si>
  <si>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</si>
  <si>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ID4</t>
  </si>
  <si>
    <t>ID5</t>
  </si>
  <si>
    <t>ID8</t>
  </si>
  <si>
    <t>ID28</t>
  </si>
  <si>
    <t>ID29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</si>
  <si>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</si>
  <si>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</si>
  <si>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</si>
  <si>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</si>
  <si>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</si>
  <si>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</si>
  <si>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</si>
  <si>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</si>
  <si>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</si>
  <si>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</si>
  <si>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</si>
  <si>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</si>
  <si>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</si>
  <si>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</si>
  <si>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</si>
  <si>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</si>
  <si>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</si>
  <si>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</si>
  <si>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</si>
  <si>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</si>
  <si>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</si>
  <si>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</si>
  <si>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</si>
  <si>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</si>
  <si>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</si>
  <si>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</si>
  <si>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</si>
  <si>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</si>
  <si>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</si>
  <si>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</si>
  <si>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</si>
  <si>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</si>
  <si>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</si>
  <si>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</si>
  <si>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</si>
  <si>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</si>
  <si>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</si>
  <si>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</si>
  <si>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</si>
  <si>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</si>
  <si>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QUALITA</t>
  </si>
  <si>
    <t>ITALICO</t>
  </si>
  <si>
    <t>ITALICO BIO</t>
  </si>
  <si>
    <t>NP</t>
  </si>
  <si>
    <t>NP BIO</t>
  </si>
  <si>
    <t>CASALIVA</t>
  </si>
  <si>
    <t xml:space="preserve">DOP </t>
  </si>
  <si>
    <t>DOP CASALIVA</t>
  </si>
  <si>
    <t>DOP CASALIVA BIO</t>
  </si>
  <si>
    <t>CASALIVA BIO</t>
  </si>
  <si>
    <t>Acidità libera (%)</t>
  </si>
  <si>
    <r>
      <t>N. di perossidi (meq O</t>
    </r>
    <r>
      <rPr>
        <b/>
        <sz val="11"/>
        <color theme="1"/>
        <rFont val="Calibri"/>
        <family val="2"/>
      </rPr>
      <t>₂</t>
    </r>
    <r>
      <rPr>
        <b/>
        <sz val="11"/>
        <color theme="1"/>
        <rFont val="Calibri"/>
        <family val="2"/>
        <scheme val="minor"/>
      </rPr>
      <t>/kg)</t>
    </r>
  </si>
  <si>
    <t>Polifenoli Totali (mg/kg)</t>
  </si>
  <si>
    <t>Acido Oleico (%)</t>
  </si>
  <si>
    <t>K232</t>
  </si>
  <si>
    <t>K270</t>
  </si>
  <si>
    <t>Delta K</t>
  </si>
  <si>
    <t>Alchil esteri (mg/kg)</t>
  </si>
  <si>
    <t>ORGANOLETTICA</t>
  </si>
  <si>
    <t>Max 2,00</t>
  </si>
  <si>
    <t>Max 0,005</t>
  </si>
  <si>
    <t>Max 12,0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</si>
</sst>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6" x14ac:knownFonts="1">
    <font>
      <sz val="10"/>
      <name val="Tahoma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ahoma"/>
      <family val="2"/>
    </font>
    <font>
      <sz val="8"/>
      <name val="Tahoma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workbookViewId="0">
      <selection activeCell="J32" sqref="J32"/>
    </sheetView>
  </sheetViews>
  <sheetFormatPr defaultRowHeight="12.75" x14ac:dyDescent="0.2"/>
  <sheetData>
    <row r="1" spans="1:5" ht="30.75" thickBot="1" x14ac:dyDescent="0.25">
      <c r="B1" s="1" t="s">
        <v>0</v>
      </c>
      <c r="C1" s="1" t="s">
        <v>1</v>
      </c>
      <c r="D1" s="2" t="s">
        <v>2</v>
      </c>
      <c r="E1" s="2" t="s">
        <v>3</v>
      </c>
    </row>
    <row r="2" spans="1:5" x14ac:dyDescent="0.2">
      <c r="A2" s="10" t="s">
        <v>35</v>
      </c>
      <c r="B2" s="3">
        <v>1</v>
      </c>
      <c r="C2" s="4" t="s">
        <v>4</v>
      </c>
      <c r="D2" s="5">
        <v>916</v>
      </c>
      <c r="E2" s="5">
        <f>D2/0.916</f>
        <v>1000</v>
      </c>
    </row>
    <row r="3" spans="1:5" x14ac:dyDescent="0.2">
      <c r="A3" s="10" t="s">
        <v>36</v>
      </c>
      <c r="B3" s="6">
        <v>2</v>
      </c>
      <c r="C3" s="7" t="s">
        <v>4</v>
      </c>
      <c r="D3" s="8">
        <v>916</v>
      </c>
      <c r="E3" s="8">
        <f>D3/0.916</f>
        <v>1000</v>
      </c>
    </row>
    <row r="4" spans="1:5" x14ac:dyDescent="0.2">
      <c r="A4" s="10" t="s">
        <v>37</v>
      </c>
      <c r="B4" s="6">
        <v>3</v>
      </c>
      <c r="C4" s="7" t="s">
        <v>4</v>
      </c>
      <c r="D4" s="8">
        <v>916</v>
      </c>
      <c r="E4" s="8">
        <f>D4/0.916</f>
        <v>1000</v>
      </c>
    </row>
    <row r="5" spans="1:5" x14ac:dyDescent="0.2">
      <c r="A5" s="10" t="s">
        <v>78</v>
      </c>
      <c r="B5" s="6">
        <v>6</v>
      </c>
      <c r="C5" s="7" t="s">
        <v>4</v>
      </c>
      <c r="D5" s="8">
        <v>1832</v>
      </c>
      <c r="E5" s="8">
        <f>D5/0.916</f>
        <v>2000</v>
      </c>
    </row>
    <row r="6" spans="1:5" x14ac:dyDescent="0.2">
      <c r="A6" s="10" t="s">
        <v>79</v>
      </c>
      <c r="B6" s="6">
        <v>7</v>
      </c>
      <c r="C6" s="7" t="s">
        <v>4</v>
      </c>
      <c r="D6" s="8">
        <v>1832</v>
      </c>
      <c r="E6" s="8">
        <f>D6/0.916</f>
        <v>2000</v>
      </c>
    </row>
    <row r="7" spans="1:5" x14ac:dyDescent="0.2">
      <c r="A7" s="10" t="s">
        <v>38</v>
      </c>
      <c r="B7" s="6">
        <v>9</v>
      </c>
      <c r="C7" s="7" t="s">
        <v>4</v>
      </c>
      <c r="D7" s="8">
        <v>2748</v>
      </c>
      <c r="E7" s="8">
        <f>D7/0.916</f>
        <v>3000</v>
      </c>
    </row>
    <row r="8" spans="1:5" x14ac:dyDescent="0.2">
      <c r="A8" s="10" t="s">
        <v>39</v>
      </c>
      <c r="B8" s="6">
        <v>10</v>
      </c>
      <c r="C8" s="7" t="s">
        <v>4</v>
      </c>
      <c r="D8" s="8">
        <v>2748</v>
      </c>
      <c r="E8" s="8">
        <f>D8/0.916</f>
        <v>3000</v>
      </c>
    </row>
    <row r="9" spans="1:5" x14ac:dyDescent="0.2">
      <c r="A9" s="10" t="s">
        <v>80</v>
      </c>
      <c r="B9" s="6">
        <v>11</v>
      </c>
      <c r="C9" s="7" t="s">
        <v>4</v>
      </c>
      <c r="D9" s="8">
        <v>2748</v>
      </c>
      <c r="E9" s="8">
        <f>D9/0.916</f>
        <v>3000</v>
      </c>
    </row>
    <row r="10" spans="1:5" x14ac:dyDescent="0.2">
      <c r="A10" s="10" t="s">
        <v>40</v>
      </c>
      <c r="B10" s="6">
        <v>12</v>
      </c>
      <c r="C10" s="7" t="s">
        <v>4</v>
      </c>
      <c r="D10" s="8">
        <v>916</v>
      </c>
      <c r="E10" s="8">
        <f>D10/0.916</f>
        <v>1000</v>
      </c>
    </row>
    <row r="11" spans="1:5" x14ac:dyDescent="0.2">
      <c r="A11" s="10" t="s">
        <v>41</v>
      </c>
      <c r="B11" s="6">
        <v>13</v>
      </c>
      <c r="C11" s="7" t="s">
        <v>4</v>
      </c>
      <c r="D11" s="8">
        <v>916</v>
      </c>
      <c r="E11" s="8">
        <f>D11/0.916</f>
        <v>1000</v>
      </c>
    </row>
    <row r="12" spans="1:5" x14ac:dyDescent="0.2">
      <c r="A12" s="10" t="s">
        <v>42</v>
      </c>
      <c r="B12" s="6">
        <v>14</v>
      </c>
      <c r="C12" s="7" t="s">
        <v>4</v>
      </c>
      <c r="D12" s="8">
        <v>916</v>
      </c>
      <c r="E12" s="8">
        <f>D12/0.916</f>
        <v>1000</v>
      </c>
    </row>
    <row r="13" spans="1:5" x14ac:dyDescent="0.2">
      <c r="A13" s="10" t="s">
        <v>43</v>
      </c>
      <c r="B13" s="6">
        <v>15</v>
      </c>
      <c r="C13" s="7" t="s">
        <v>4</v>
      </c>
      <c r="D13" s="8">
        <v>1374</v>
      </c>
      <c r="E13" s="8">
        <f>D13/0.916</f>
        <v>1500</v>
      </c>
    </row>
    <row r="14" spans="1:5" x14ac:dyDescent="0.2">
      <c r="A14" s="10" t="s">
        <v>44</v>
      </c>
      <c r="B14" s="6">
        <v>16</v>
      </c>
      <c r="C14" s="7" t="s">
        <v>4</v>
      </c>
      <c r="D14" s="8">
        <v>1374</v>
      </c>
      <c r="E14" s="8">
        <f>D14/0.916</f>
        <v>1500</v>
      </c>
    </row>
    <row r="15" spans="1:5" x14ac:dyDescent="0.2">
      <c r="A15" s="10" t="s">
        <v>45</v>
      </c>
      <c r="B15" s="6">
        <v>17</v>
      </c>
      <c r="C15" s="7" t="s">
        <v>4</v>
      </c>
      <c r="D15" s="8">
        <v>1374</v>
      </c>
      <c r="E15" s="8">
        <f>D15/0.916</f>
        <v>1500</v>
      </c>
    </row>
    <row r="16" spans="1:5" x14ac:dyDescent="0.2">
      <c r="A16" s="10" t="s">
        <v>46</v>
      </c>
      <c r="B16" s="6">
        <v>18</v>
      </c>
      <c r="C16" s="7" t="s">
        <v>4</v>
      </c>
      <c r="D16" s="8">
        <v>4580</v>
      </c>
      <c r="E16" s="8">
        <f>D16/0.916</f>
        <v>5000</v>
      </c>
    </row>
    <row r="17" spans="1:5" x14ac:dyDescent="0.2">
      <c r="A17" s="10" t="s">
        <v>47</v>
      </c>
      <c r="B17" s="6">
        <v>19</v>
      </c>
      <c r="C17" s="7" t="s">
        <v>4</v>
      </c>
      <c r="D17" s="8">
        <v>4580</v>
      </c>
      <c r="E17" s="8">
        <f>D17/0.916</f>
        <v>5000</v>
      </c>
    </row>
    <row r="18" spans="1:5" x14ac:dyDescent="0.2">
      <c r="A18" s="10" t="s">
        <v>48</v>
      </c>
      <c r="B18" s="6">
        <v>20</v>
      </c>
      <c r="C18" s="7" t="s">
        <v>4</v>
      </c>
      <c r="D18" s="8">
        <v>4122</v>
      </c>
      <c r="E18" s="8">
        <f>D18/0.916</f>
        <v>4500</v>
      </c>
    </row>
    <row r="19" spans="1:5" x14ac:dyDescent="0.2">
      <c r="A19" s="10" t="s">
        <v>49</v>
      </c>
      <c r="B19" s="6">
        <v>21</v>
      </c>
      <c r="C19" s="7" t="s">
        <v>4</v>
      </c>
      <c r="D19" s="8">
        <v>4122</v>
      </c>
      <c r="E19" s="8">
        <f>D19/0.916</f>
        <v>4500</v>
      </c>
    </row>
    <row r="20" spans="1:5" x14ac:dyDescent="0.2">
      <c r="A20" s="10" t="s">
        <v>50</v>
      </c>
      <c r="B20" s="6">
        <v>22</v>
      </c>
      <c r="C20" s="7" t="s">
        <v>4</v>
      </c>
      <c r="D20" s="8">
        <v>470</v>
      </c>
      <c r="E20" s="8">
        <f>D20/0.916</f>
        <v>513.10043668122273</v>
      </c>
    </row>
    <row r="21" spans="1:5" x14ac:dyDescent="0.2">
      <c r="A21" s="10" t="s">
        <v>51</v>
      </c>
      <c r="B21" s="6">
        <v>23</v>
      </c>
      <c r="C21" s="7" t="s">
        <v>4</v>
      </c>
      <c r="D21" s="8">
        <v>470</v>
      </c>
      <c r="E21" s="8">
        <f>D21/0.916</f>
        <v>513.10043668122273</v>
      </c>
    </row>
    <row r="22" spans="1:5" x14ac:dyDescent="0.2">
      <c r="A22" s="10" t="s">
        <v>52</v>
      </c>
      <c r="B22" s="6">
        <v>24</v>
      </c>
      <c r="C22" s="7" t="s">
        <v>4</v>
      </c>
      <c r="D22" s="8">
        <v>294</v>
      </c>
      <c r="E22" s="8">
        <f>D22/0.916</f>
        <v>320.9606986899563</v>
      </c>
    </row>
    <row r="23" spans="1:5" x14ac:dyDescent="0.2">
      <c r="A23" s="10" t="s">
        <v>53</v>
      </c>
      <c r="B23" s="6">
        <v>25</v>
      </c>
      <c r="C23" s="7" t="s">
        <v>4</v>
      </c>
      <c r="D23" s="8">
        <v>294</v>
      </c>
      <c r="E23" s="8">
        <f>D23/0.916</f>
        <v>320.9606986899563</v>
      </c>
    </row>
    <row r="24" spans="1:5" x14ac:dyDescent="0.2">
      <c r="A24" s="10" t="s">
        <v>54</v>
      </c>
      <c r="B24" s="6">
        <v>26</v>
      </c>
      <c r="C24" s="7" t="s">
        <v>4</v>
      </c>
      <c r="D24" s="8">
        <v>4122</v>
      </c>
      <c r="E24" s="8">
        <f>D24/0.916</f>
        <v>4500</v>
      </c>
    </row>
    <row r="25" spans="1:5" x14ac:dyDescent="0.2">
      <c r="A25" s="10" t="s">
        <v>55</v>
      </c>
      <c r="B25" s="6">
        <v>27</v>
      </c>
      <c r="C25" s="7" t="s">
        <v>4</v>
      </c>
      <c r="D25" s="8">
        <v>4122</v>
      </c>
      <c r="E25" s="8">
        <f>D25/0.916</f>
        <v>4500</v>
      </c>
    </row>
    <row r="26" spans="1:5" x14ac:dyDescent="0.2">
      <c r="A26" s="10" t="s">
        <v>56</v>
      </c>
      <c r="B26" s="6">
        <v>30</v>
      </c>
      <c r="C26" s="7" t="s">
        <v>5</v>
      </c>
      <c r="D26" s="8">
        <v>45.8</v>
      </c>
      <c r="E26" s="8">
        <f>D26/0.916</f>
        <v>49.999999999999993</v>
      </c>
    </row>
    <row r="27" spans="1:5" x14ac:dyDescent="0.2">
      <c r="A27" s="10" t="s">
        <v>57</v>
      </c>
      <c r="B27" s="6">
        <v>31</v>
      </c>
      <c r="C27" s="7" t="s">
        <v>5</v>
      </c>
      <c r="D27" s="8">
        <v>45.8</v>
      </c>
      <c r="E27" s="8">
        <f>D27/0.916</f>
        <v>49.999999999999993</v>
      </c>
    </row>
    <row r="28" spans="1:5" x14ac:dyDescent="0.2">
      <c r="A28" s="10" t="s">
        <v>58</v>
      </c>
      <c r="B28" s="6">
        <v>32</v>
      </c>
      <c r="C28" s="7" t="s">
        <v>5</v>
      </c>
      <c r="D28" s="8">
        <v>45.8</v>
      </c>
      <c r="E28" s="8">
        <f>D28/0.916</f>
        <v>49.999999999999993</v>
      </c>
    </row>
    <row r="29" spans="1:5" x14ac:dyDescent="0.2">
      <c r="A29" s="10" t="s">
        <v>81</v>
      </c>
      <c r="B29" s="6">
        <v>50</v>
      </c>
      <c r="C29" s="7" t="s">
        <v>6</v>
      </c>
      <c r="D29" s="9">
        <v>265</v>
      </c>
      <c r="E29" s="8">
        <f>D29/0.916</f>
        <v>289.30131004366814</v>
      </c>
    </row>
    <row r="30" spans="1:5" x14ac:dyDescent="0.2">
      <c r="A30" s="10" t="s">
        <v>82</v>
      </c>
      <c r="B30" s="6">
        <v>51</v>
      </c>
      <c r="C30" s="7" t="s">
        <v>6</v>
      </c>
      <c r="D30" s="9">
        <v>265</v>
      </c>
      <c r="E30" s="8">
        <f>D30/0.916</f>
        <v>289.30131004366814</v>
      </c>
    </row>
    <row r="31" spans="1:5" x14ac:dyDescent="0.2">
      <c r="A31" s="10" t="s">
        <v>59</v>
      </c>
      <c r="B31" s="6">
        <v>52</v>
      </c>
      <c r="C31" s="7" t="s">
        <v>6</v>
      </c>
      <c r="D31" s="9">
        <v>265</v>
      </c>
      <c r="E31" s="8">
        <f>D31/0.916</f>
        <v>289.30131004366814</v>
      </c>
    </row>
    <row r="32" spans="1:5" x14ac:dyDescent="0.2">
      <c r="A32" s="10" t="s">
        <v>60</v>
      </c>
      <c r="B32" s="6">
        <v>53</v>
      </c>
      <c r="C32" s="7" t="s">
        <v>6</v>
      </c>
      <c r="D32" s="9">
        <v>265</v>
      </c>
      <c r="E32" s="8">
        <f>D32/0.916</f>
        <v>289.30131004366814</v>
      </c>
    </row>
    <row r="33" spans="1:5" x14ac:dyDescent="0.2">
      <c r="A33" s="10" t="s">
        <v>61</v>
      </c>
      <c r="B33" s="6">
        <v>54</v>
      </c>
      <c r="C33" s="7" t="s">
        <v>6</v>
      </c>
      <c r="D33" s="9">
        <v>265</v>
      </c>
      <c r="E33" s="8">
        <f>D33/0.916</f>
        <v>289.30131004366814</v>
      </c>
    </row>
    <row r="34" spans="1:5" x14ac:dyDescent="0.2">
      <c r="A34" s="10" t="s">
        <v>83</v>
      </c>
      <c r="B34" s="6">
        <v>55</v>
      </c>
      <c r="C34" s="7" t="s">
        <v>6</v>
      </c>
      <c r="D34" s="8">
        <v>160.30000000000001</v>
      </c>
      <c r="E34" s="8">
        <f>D34/0.916</f>
        <v>175</v>
      </c>
    </row>
    <row r="35" spans="1:5" x14ac:dyDescent="0.2">
      <c r="A35" s="10" t="s">
        <v>84</v>
      </c>
      <c r="B35" s="6">
        <v>56</v>
      </c>
      <c r="C35" s="7" t="s">
        <v>6</v>
      </c>
      <c r="D35" s="8">
        <v>160.30000000000001</v>
      </c>
      <c r="E35" s="8">
        <f>D35/0.916</f>
        <v>175</v>
      </c>
    </row>
    <row r="36" spans="1:5" x14ac:dyDescent="0.2">
      <c r="A36" s="10" t="s">
        <v>85</v>
      </c>
      <c r="B36" s="6">
        <v>57</v>
      </c>
      <c r="C36" s="7" t="s">
        <v>6</v>
      </c>
      <c r="D36" s="8">
        <v>160.30000000000001</v>
      </c>
      <c r="E36" s="8">
        <f>D36/0.916</f>
        <v>175</v>
      </c>
    </row>
    <row r="37" spans="1:5" x14ac:dyDescent="0.2">
      <c r="A37" s="10" t="s">
        <v>86</v>
      </c>
      <c r="B37" s="6">
        <v>58</v>
      </c>
      <c r="C37" s="7" t="s">
        <v>6</v>
      </c>
      <c r="D37" s="8">
        <v>160.30000000000001</v>
      </c>
      <c r="E37" s="8">
        <f>D37/0.916</f>
        <v>175</v>
      </c>
    </row>
    <row r="38" spans="1:5" x14ac:dyDescent="0.2">
      <c r="A38" s="10" t="s">
        <v>87</v>
      </c>
      <c r="B38" s="6">
        <v>59</v>
      </c>
      <c r="C38" s="7" t="s">
        <v>6</v>
      </c>
      <c r="D38" s="8">
        <v>160.30000000000001</v>
      </c>
      <c r="E38" s="8">
        <f>D38/0.916</f>
        <v>175</v>
      </c>
    </row>
    <row r="39" spans="1:5" x14ac:dyDescent="0.2">
      <c r="A39" s="10" t="s">
        <v>88</v>
      </c>
      <c r="B39" s="6">
        <v>60</v>
      </c>
      <c r="C39" s="7" t="s">
        <v>6</v>
      </c>
      <c r="D39" s="8">
        <v>160.30000000000001</v>
      </c>
      <c r="E39" s="8">
        <f>D39/0.916</f>
        <v>175</v>
      </c>
    </row>
    <row r="40" spans="1:5" x14ac:dyDescent="0.2">
      <c r="A40" s="10" t="s">
        <v>89</v>
      </c>
      <c r="B40" s="6">
        <v>61</v>
      </c>
      <c r="C40" s="7" t="s">
        <v>6</v>
      </c>
      <c r="D40" s="8">
        <v>160.30000000000001</v>
      </c>
      <c r="E40" s="8">
        <f>D40/0.916</f>
        <v>175</v>
      </c>
    </row>
    <row r="41" spans="1:5" x14ac:dyDescent="0.2">
      <c r="A41" s="10" t="s">
        <v>90</v>
      </c>
      <c r="B41" s="6">
        <v>62</v>
      </c>
      <c r="C41" s="7" t="s">
        <v>6</v>
      </c>
      <c r="D41" s="8">
        <v>160.30000000000001</v>
      </c>
      <c r="E41" s="8">
        <f>D41/0.916</f>
        <v>175</v>
      </c>
    </row>
    <row r="42" spans="1:5" x14ac:dyDescent="0.2">
      <c r="A42" s="10" t="s">
        <v>91</v>
      </c>
      <c r="B42" s="6">
        <v>63</v>
      </c>
      <c r="C42" s="7" t="s">
        <v>6</v>
      </c>
      <c r="D42" s="8">
        <v>160.30000000000001</v>
      </c>
      <c r="E42" s="8">
        <f>D42/0.916</f>
        <v>175</v>
      </c>
    </row>
    <row r="43" spans="1:5" x14ac:dyDescent="0.2">
      <c r="A43" s="10" t="s">
        <v>92</v>
      </c>
      <c r="B43" s="6">
        <v>64</v>
      </c>
      <c r="C43" s="7" t="s">
        <v>6</v>
      </c>
      <c r="D43" s="8">
        <v>160.30000000000001</v>
      </c>
      <c r="E43" s="8">
        <f>D43/0.916</f>
        <v>175</v>
      </c>
    </row>
    <row r="44" spans="1:5" x14ac:dyDescent="0.2">
      <c r="A44" s="10" t="s">
        <v>93</v>
      </c>
      <c r="B44" s="6">
        <v>65</v>
      </c>
      <c r="C44" s="7" t="s">
        <v>6</v>
      </c>
      <c r="D44" s="8">
        <v>160.30000000000001</v>
      </c>
      <c r="E44" s="8">
        <f>D44/0.916</f>
        <v>175</v>
      </c>
    </row>
    <row r="45" spans="1:5" x14ac:dyDescent="0.2">
      <c r="A45" s="10" t="s">
        <v>94</v>
      </c>
      <c r="B45" s="6">
        <v>66</v>
      </c>
      <c r="C45" s="7" t="s">
        <v>6</v>
      </c>
      <c r="D45" s="8">
        <v>315.10399999999998</v>
      </c>
      <c r="E45" s="8">
        <f>D45/0.916</f>
        <v>343.99999999999994</v>
      </c>
    </row>
    <row r="46" spans="1:5" x14ac:dyDescent="0.2">
      <c r="A46" s="10" t="s">
        <v>95</v>
      </c>
      <c r="B46" s="6">
        <v>67</v>
      </c>
      <c r="C46" s="7" t="s">
        <v>6</v>
      </c>
      <c r="D46" s="8">
        <v>315.10399999999998</v>
      </c>
      <c r="E46" s="8">
        <f>D46/0.916</f>
        <v>343.99999999999994</v>
      </c>
    </row>
    <row r="47" spans="1:5" x14ac:dyDescent="0.2">
      <c r="A47" s="10" t="s">
        <v>96</v>
      </c>
      <c r="B47" s="6">
        <v>68</v>
      </c>
      <c r="C47" s="7" t="s">
        <v>6</v>
      </c>
      <c r="D47" s="8">
        <v>315.10399999999998</v>
      </c>
      <c r="E47" s="8">
        <f>D47/0.916</f>
        <v>343.99999999999994</v>
      </c>
    </row>
    <row r="48" spans="1:5" x14ac:dyDescent="0.2">
      <c r="A48" s="10" t="s">
        <v>97</v>
      </c>
      <c r="B48" s="6">
        <v>69</v>
      </c>
      <c r="C48" s="7" t="s">
        <v>6</v>
      </c>
      <c r="D48" s="8">
        <v>315.10399999999998</v>
      </c>
      <c r="E48" s="8">
        <f>D48/0.916</f>
        <v>343.99999999999994</v>
      </c>
    </row>
    <row r="49" spans="1:5" x14ac:dyDescent="0.2">
      <c r="A49" s="10" t="s">
        <v>98</v>
      </c>
      <c r="B49" s="6">
        <v>70</v>
      </c>
      <c r="C49" s="7" t="s">
        <v>6</v>
      </c>
      <c r="D49" s="8">
        <v>315.10399999999998</v>
      </c>
      <c r="E49" s="8">
        <f>D49/0.916</f>
        <v>343.99999999999994</v>
      </c>
    </row>
    <row r="50" spans="1:5" x14ac:dyDescent="0.2">
      <c r="A50" s="10" t="s">
        <v>99</v>
      </c>
      <c r="B50" s="6">
        <v>71</v>
      </c>
      <c r="C50" s="7" t="s">
        <v>7</v>
      </c>
      <c r="D50" s="8">
        <v>962</v>
      </c>
      <c r="E50" s="8">
        <f>D50/0.916</f>
        <v>1050.2183406113536</v>
      </c>
    </row>
    <row r="51" spans="1:5" x14ac:dyDescent="0.2">
      <c r="A51" s="10" t="s">
        <v>62</v>
      </c>
      <c r="B51" s="6">
        <v>72</v>
      </c>
      <c r="C51" s="7" t="s">
        <v>7</v>
      </c>
      <c r="D51" s="8">
        <v>962</v>
      </c>
      <c r="E51" s="8">
        <f>D51/0.916</f>
        <v>1050.2183406113536</v>
      </c>
    </row>
    <row r="52" spans="1:5" x14ac:dyDescent="0.2">
      <c r="A52" s="10" t="s">
        <v>63</v>
      </c>
      <c r="B52" s="6">
        <v>73</v>
      </c>
      <c r="C52" s="7" t="s">
        <v>7</v>
      </c>
      <c r="D52" s="8">
        <v>962</v>
      </c>
      <c r="E52" s="8">
        <f>D52/0.916</f>
        <v>1050.2183406113536</v>
      </c>
    </row>
    <row r="53" spans="1:5" x14ac:dyDescent="0.2">
      <c r="A53" s="10" t="s">
        <v>64</v>
      </c>
      <c r="B53" s="6">
        <v>74</v>
      </c>
      <c r="C53" s="7" t="s">
        <v>7</v>
      </c>
      <c r="D53" s="8">
        <v>962</v>
      </c>
      <c r="E53" s="8">
        <f>D53/0.916</f>
        <v>1050.2183406113536</v>
      </c>
    </row>
    <row r="54" spans="1:5" x14ac:dyDescent="0.2">
      <c r="A54" s="10" t="s">
        <v>65</v>
      </c>
      <c r="B54" s="6">
        <v>75</v>
      </c>
      <c r="C54" s="7" t="s">
        <v>7</v>
      </c>
      <c r="D54" s="8">
        <v>962</v>
      </c>
      <c r="E54" s="8">
        <f>D54/0.916</f>
        <v>1050.2183406113536</v>
      </c>
    </row>
    <row r="55" spans="1:5" x14ac:dyDescent="0.2">
      <c r="A55" s="10" t="s">
        <v>66</v>
      </c>
      <c r="B55" s="6">
        <v>76</v>
      </c>
      <c r="C55" s="7" t="s">
        <v>7</v>
      </c>
      <c r="D55" s="8">
        <v>962</v>
      </c>
      <c r="E55" s="8">
        <f>D55/0.916</f>
        <v>1050.2183406113536</v>
      </c>
    </row>
    <row r="56" spans="1:5" x14ac:dyDescent="0.2">
      <c r="A56" s="10" t="s">
        <v>67</v>
      </c>
      <c r="B56" s="6">
        <v>77</v>
      </c>
      <c r="C56" s="7" t="s">
        <v>7</v>
      </c>
      <c r="D56" s="8">
        <v>962</v>
      </c>
      <c r="E56" s="8">
        <f>D56/0.916</f>
        <v>1050.2183406113536</v>
      </c>
    </row>
    <row r="57" spans="1:5" x14ac:dyDescent="0.2">
      <c r="A57" s="10" t="s">
        <v>68</v>
      </c>
      <c r="B57" s="6">
        <v>78</v>
      </c>
      <c r="C57" s="7" t="s">
        <v>7</v>
      </c>
      <c r="D57" s="8">
        <v>962</v>
      </c>
      <c r="E57" s="8">
        <f>D57/0.916</f>
        <v>1050.2183406113536</v>
      </c>
    </row>
    <row r="58" spans="1:5" x14ac:dyDescent="0.2">
      <c r="A58" s="10" t="s">
        <v>69</v>
      </c>
      <c r="B58" s="6">
        <v>79</v>
      </c>
      <c r="C58" s="7" t="s">
        <v>7</v>
      </c>
      <c r="D58" s="8">
        <v>962</v>
      </c>
      <c r="E58" s="8">
        <f>D58/0.916</f>
        <v>1050.2183406113536</v>
      </c>
    </row>
    <row r="59" spans="1:5" x14ac:dyDescent="0.2">
      <c r="A59" s="10" t="s">
        <v>70</v>
      </c>
      <c r="B59" s="6">
        <v>80</v>
      </c>
      <c r="C59" s="7" t="s">
        <v>7</v>
      </c>
      <c r="D59" s="8">
        <v>962</v>
      </c>
      <c r="E59" s="8">
        <f>D59/0.916</f>
        <v>1050.2183406113536</v>
      </c>
    </row>
    <row r="60" spans="1:5" x14ac:dyDescent="0.2">
      <c r="A60" s="10" t="s">
        <v>71</v>
      </c>
      <c r="B60" s="6">
        <v>81</v>
      </c>
      <c r="C60" s="7" t="s">
        <v>7</v>
      </c>
      <c r="D60" s="8">
        <v>962</v>
      </c>
      <c r="E60" s="8">
        <f>D60/0.916</f>
        <v>1050.2183406113536</v>
      </c>
    </row>
    <row r="61" spans="1:5" x14ac:dyDescent="0.2">
      <c r="A61" s="10" t="s">
        <v>72</v>
      </c>
      <c r="B61" s="6">
        <v>82</v>
      </c>
      <c r="C61" s="7" t="s">
        <v>7</v>
      </c>
      <c r="D61" s="8">
        <v>962</v>
      </c>
      <c r="E61" s="8">
        <f>D61/0.916</f>
        <v>1050.2183406113536</v>
      </c>
    </row>
    <row r="62" spans="1:5" x14ac:dyDescent="0.2">
      <c r="A62" s="10" t="s">
        <v>73</v>
      </c>
      <c r="B62" s="6">
        <v>83</v>
      </c>
      <c r="C62" s="7" t="s">
        <v>7</v>
      </c>
      <c r="D62" s="8">
        <v>962</v>
      </c>
      <c r="E62" s="8">
        <f>D62/0.916</f>
        <v>1050.2183406113536</v>
      </c>
    </row>
    <row r="63" spans="1:5" x14ac:dyDescent="0.2">
      <c r="A63" s="10" t="s">
        <v>74</v>
      </c>
      <c r="B63" s="6">
        <v>84</v>
      </c>
      <c r="C63" s="7" t="s">
        <v>7</v>
      </c>
      <c r="D63" s="8">
        <v>962</v>
      </c>
      <c r="E63" s="8">
        <f>D63/0.916</f>
        <v>1050.2183406113536</v>
      </c>
    </row>
    <row r="64" spans="1:5" x14ac:dyDescent="0.2">
      <c r="A64" s="10" t="s">
        <v>75</v>
      </c>
      <c r="B64" s="6">
        <v>85</v>
      </c>
      <c r="C64" s="7" t="s">
        <v>7</v>
      </c>
      <c r="D64" s="8">
        <v>962</v>
      </c>
      <c r="E64" s="8">
        <f>D64/0.916</f>
        <v>1050.2183406113536</v>
      </c>
    </row>
    <row r="65" spans="1:5" x14ac:dyDescent="0.2">
      <c r="A65" s="10" t="s">
        <v>76</v>
      </c>
      <c r="B65" s="6">
        <v>86</v>
      </c>
      <c r="C65" s="7" t="s">
        <v>7</v>
      </c>
      <c r="D65" s="8">
        <v>962</v>
      </c>
      <c r="E65" s="8">
        <f>D65/0.916</f>
        <v>1050.2183406113536</v>
      </c>
    </row>
    <row r="66" spans="1:5" x14ac:dyDescent="0.2">
      <c r="A66" s="10" t="s">
        <v>77</v>
      </c>
      <c r="B66" s="6" t="s">
        <v>8</v>
      </c>
      <c r="C66" s="7" t="s">
        <v>4</v>
      </c>
      <c r="D66" s="8">
        <v>1832</v>
      </c>
      <c r="E66" s="8">
        <f>D66/0.916</f>
        <v>2000</v>
      </c>
    </row>
    <row r="67" spans="1:5" x14ac:dyDescent="0.2">
      <c r="A67" s="10" t="s">
        <v>100</v>
      </c>
      <c r="B67" s="6" t="s">
        <v>9</v>
      </c>
      <c r="C67" s="7" t="s">
        <v>4</v>
      </c>
      <c r="D67" s="8">
        <v>1832</v>
      </c>
      <c r="E67" s="8">
        <f>D67/0.916</f>
        <v>2000</v>
      </c>
    </row>
    <row r="68" spans="1:5" x14ac:dyDescent="0.2">
      <c r="A68" s="10" t="s">
        <v>101</v>
      </c>
      <c r="B68" s="6" t="s">
        <v>10</v>
      </c>
      <c r="C68" s="7" t="s">
        <v>4</v>
      </c>
      <c r="D68" s="8">
        <v>1832</v>
      </c>
      <c r="E68" s="8">
        <f>D68/0.916</f>
        <v>2000</v>
      </c>
    </row>
    <row r="69" spans="1:5" x14ac:dyDescent="0.2">
      <c r="A69" s="10" t="s">
        <v>102</v>
      </c>
      <c r="B69" s="6" t="s">
        <v>11</v>
      </c>
      <c r="C69" s="7" t="s">
        <v>4</v>
      </c>
      <c r="D69" s="8">
        <v>916</v>
      </c>
      <c r="E69" s="8">
        <f>D69/0.916</f>
        <v>1000</v>
      </c>
    </row>
    <row r="70" spans="1:5" x14ac:dyDescent="0.2">
      <c r="A70" s="10" t="s">
        <v>103</v>
      </c>
      <c r="B70" s="6" t="s">
        <v>12</v>
      </c>
      <c r="C70" s="7" t="s">
        <v>13</v>
      </c>
      <c r="D70" s="8">
        <v>732.8</v>
      </c>
      <c r="E70" s="8">
        <f>D70/0.916</f>
        <v>799.99999999999989</v>
      </c>
    </row>
    <row r="71" spans="1:5" x14ac:dyDescent="0.2">
      <c r="A71" s="10" t="s">
        <v>104</v>
      </c>
      <c r="B71" s="6" t="s">
        <v>14</v>
      </c>
      <c r="C71" s="7" t="s">
        <v>15</v>
      </c>
      <c r="D71" s="8">
        <v>274.8</v>
      </c>
      <c r="E71" s="8">
        <f>D71/0.916</f>
        <v>300</v>
      </c>
    </row>
    <row r="72" spans="1:5" x14ac:dyDescent="0.2">
      <c r="A72" s="10" t="s">
        <v>105</v>
      </c>
      <c r="B72" s="6" t="s">
        <v>16</v>
      </c>
      <c r="C72" s="7" t="s">
        <v>17</v>
      </c>
      <c r="D72" s="8">
        <v>183.2</v>
      </c>
      <c r="E72" s="8">
        <f>D72/0.916</f>
        <v>199.99999999999997</v>
      </c>
    </row>
    <row r="73" spans="1:5" x14ac:dyDescent="0.2">
      <c r="A73" s="10" t="s">
        <v>106</v>
      </c>
      <c r="B73" s="6" t="s">
        <v>18</v>
      </c>
      <c r="C73" s="7" t="s">
        <v>17</v>
      </c>
      <c r="D73" s="8">
        <v>183.2</v>
      </c>
      <c r="E73" s="8">
        <f>D73/0.916</f>
        <v>199.99999999999997</v>
      </c>
    </row>
    <row r="74" spans="1:5" x14ac:dyDescent="0.2">
      <c r="A74" s="10" t="s">
        <v>107</v>
      </c>
      <c r="B74" s="6" t="s">
        <v>19</v>
      </c>
      <c r="C74" s="7" t="s">
        <v>17</v>
      </c>
      <c r="D74" s="8">
        <v>183.2</v>
      </c>
      <c r="E74" s="8">
        <f>D74/0.916</f>
        <v>199.99999999999997</v>
      </c>
    </row>
    <row r="75" spans="1:5" x14ac:dyDescent="0.2">
      <c r="A75" s="10" t="s">
        <v>108</v>
      </c>
      <c r="B75" s="6" t="s">
        <v>20</v>
      </c>
      <c r="C75" s="7" t="s">
        <v>17</v>
      </c>
      <c r="D75" s="8">
        <v>183.2</v>
      </c>
      <c r="E75" s="8">
        <f>D75/0.916</f>
        <v>199.99999999999997</v>
      </c>
    </row>
    <row r="76" spans="1:5" x14ac:dyDescent="0.2">
      <c r="A76" s="10" t="s">
        <v>109</v>
      </c>
      <c r="B76" s="6" t="s">
        <v>21</v>
      </c>
      <c r="C76" s="7" t="s">
        <v>17</v>
      </c>
      <c r="D76" s="8">
        <v>183.2</v>
      </c>
      <c r="E76" s="8">
        <f>D76/0.916</f>
        <v>199.99999999999997</v>
      </c>
    </row>
    <row r="77" spans="1:5" x14ac:dyDescent="0.2">
      <c r="A77" s="10" t="s">
        <v>110</v>
      </c>
      <c r="B77" s="6" t="s">
        <v>22</v>
      </c>
      <c r="C77" s="7" t="s">
        <v>17</v>
      </c>
      <c r="D77" s="8">
        <v>183.2</v>
      </c>
      <c r="E77" s="8">
        <f>D77/0.916</f>
        <v>199.99999999999997</v>
      </c>
    </row>
    <row r="78" spans="1:5" x14ac:dyDescent="0.2">
      <c r="A78" s="10" t="s">
        <v>111</v>
      </c>
      <c r="B78" s="6" t="s">
        <v>23</v>
      </c>
      <c r="C78" s="7" t="s">
        <v>17</v>
      </c>
      <c r="D78" s="8">
        <v>183.2</v>
      </c>
      <c r="E78" s="8">
        <f>D78/0.916</f>
        <v>199.99999999999997</v>
      </c>
    </row>
    <row r="79" spans="1:5" x14ac:dyDescent="0.2">
      <c r="A79" s="10" t="s">
        <v>112</v>
      </c>
      <c r="B79" s="6" t="s">
        <v>24</v>
      </c>
      <c r="C79" s="7" t="s">
        <v>17</v>
      </c>
      <c r="D79" s="8">
        <v>183.2</v>
      </c>
      <c r="E79" s="8">
        <f>D79/0.916</f>
        <v>199.99999999999997</v>
      </c>
    </row>
    <row r="80" spans="1:5" x14ac:dyDescent="0.2">
      <c r="A80" s="10" t="s">
        <v>113</v>
      </c>
      <c r="B80" s="6" t="s">
        <v>25</v>
      </c>
      <c r="C80" s="7" t="s">
        <v>17</v>
      </c>
      <c r="D80" s="8">
        <v>91.6</v>
      </c>
      <c r="E80" s="8">
        <f>D80/0.916</f>
        <v>99.999999999999986</v>
      </c>
    </row>
    <row r="81" spans="1:5" x14ac:dyDescent="0.2">
      <c r="A81" s="10" t="s">
        <v>114</v>
      </c>
      <c r="B81" s="6" t="s">
        <v>26</v>
      </c>
      <c r="C81" s="7" t="s">
        <v>17</v>
      </c>
      <c r="D81" s="8">
        <v>91.6</v>
      </c>
      <c r="E81" s="8">
        <f>D81/0.916</f>
        <v>99.999999999999986</v>
      </c>
    </row>
    <row r="82" spans="1:5" x14ac:dyDescent="0.2">
      <c r="A82" s="10" t="s">
        <v>115</v>
      </c>
      <c r="B82" s="6" t="s">
        <v>27</v>
      </c>
      <c r="C82" s="7" t="s">
        <v>17</v>
      </c>
      <c r="D82" s="8">
        <v>91.6</v>
      </c>
      <c r="E82" s="8">
        <f>D82/0.916</f>
        <v>99.999999999999986</v>
      </c>
    </row>
    <row r="83" spans="1:5" x14ac:dyDescent="0.2">
      <c r="A83" s="10" t="s">
        <v>116</v>
      </c>
      <c r="B83" s="6" t="s">
        <v>28</v>
      </c>
      <c r="C83" s="7" t="s">
        <v>17</v>
      </c>
      <c r="D83" s="8">
        <v>91.6</v>
      </c>
      <c r="E83" s="8">
        <f>D83/0.916</f>
        <v>99.999999999999986</v>
      </c>
    </row>
    <row r="84" spans="1:5" x14ac:dyDescent="0.2">
      <c r="A84" s="10" t="s">
        <v>117</v>
      </c>
      <c r="B84" s="6" t="s">
        <v>29</v>
      </c>
      <c r="C84" s="7" t="s">
        <v>17</v>
      </c>
      <c r="D84" s="8">
        <v>91.6</v>
      </c>
      <c r="E84" s="8">
        <f>D84/0.916</f>
        <v>99.999999999999986</v>
      </c>
    </row>
    <row r="85" spans="1:5" x14ac:dyDescent="0.2">
      <c r="A85" s="10" t="s">
        <v>118</v>
      </c>
      <c r="B85" s="6" t="s">
        <v>30</v>
      </c>
      <c r="C85" s="7" t="s">
        <v>17</v>
      </c>
      <c r="D85" s="8">
        <v>91.6</v>
      </c>
      <c r="E85" s="8">
        <f>D85/0.916</f>
        <v>99.999999999999986</v>
      </c>
    </row>
    <row r="86" spans="1:5" x14ac:dyDescent="0.2">
      <c r="A86" s="10" t="s">
        <v>119</v>
      </c>
      <c r="B86" s="6" t="s">
        <v>31</v>
      </c>
      <c r="C86" s="7" t="s">
        <v>17</v>
      </c>
      <c r="D86" s="8">
        <v>91.6</v>
      </c>
      <c r="E86" s="8">
        <f>D86/0.916</f>
        <v>99.999999999999986</v>
      </c>
    </row>
    <row r="87" spans="1:5" x14ac:dyDescent="0.2">
      <c r="A87" s="10" t="s">
        <v>120</v>
      </c>
      <c r="B87" s="6" t="s">
        <v>32</v>
      </c>
      <c r="C87" s="7" t="s">
        <v>17</v>
      </c>
      <c r="D87" s="8">
        <v>91.6</v>
      </c>
      <c r="E87" s="8">
        <f>D87/0.916</f>
        <v>99.999999999999986</v>
      </c>
    </row>
    <row r="88" spans="1:5" x14ac:dyDescent="0.2">
      <c r="A88" s="10" t="s">
        <v>121</v>
      </c>
      <c r="B88" s="6" t="s">
        <v>33</v>
      </c>
      <c r="C88" s="7" t="s">
        <v>17</v>
      </c>
      <c r="D88" s="8">
        <v>91.6</v>
      </c>
      <c r="E88" s="8">
        <f>D88/0.916</f>
        <v>99.999999999999986</v>
      </c>
    </row>
    <row r="89" spans="1:5" x14ac:dyDescent="0.2">
      <c r="A89" s="10" t="s">
        <v>122</v>
      </c>
      <c r="B89" s="6" t="s">
        <v>34</v>
      </c>
      <c r="C89" s="7" t="s">
        <v>17</v>
      </c>
      <c r="D89" s="8">
        <v>454.14800000000002</v>
      </c>
      <c r="E89" s="8">
        <v>500</v>
      </c>
    </row>
  </sheetData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9F5B-500E-4641-868C-87E7ACFBD956}">
  <dimension ref="A3:A13"/>
  <sheetViews>
    <sheetView workbookViewId="0">
      <selection activeCell="B15" sqref="B15"/>
    </sheetView>
  </sheetViews>
  <sheetFormatPr defaultRowHeight="12.75" x14ac:dyDescent="0.2"/>
  <sheetData>
    <row r="3" spans="1:1" x14ac:dyDescent="0.2">
      <c r="A3" s="10" t="s">
        <v>123</v>
      </c>
    </row>
    <row r="5" spans="1:1" x14ac:dyDescent="0.2">
      <c r="A5" s="10" t="s">
        <v>124</v>
      </c>
    </row>
    <row r="6" spans="1:1" x14ac:dyDescent="0.2">
      <c r="A6" s="10" t="s">
        <v>125</v>
      </c>
    </row>
    <row r="7" spans="1:1" x14ac:dyDescent="0.2">
      <c r="A7" s="10" t="s">
        <v>126</v>
      </c>
    </row>
    <row r="8" spans="1:1" x14ac:dyDescent="0.2">
      <c r="A8" s="10" t="s">
        <v>127</v>
      </c>
    </row>
    <row r="9" spans="1:1" x14ac:dyDescent="0.2">
      <c r="A9" s="10" t="s">
        <v>128</v>
      </c>
    </row>
    <row r="10" spans="1:1" x14ac:dyDescent="0.2">
      <c r="A10" s="10" t="s">
        <v>132</v>
      </c>
    </row>
    <row r="11" spans="1:1" x14ac:dyDescent="0.2">
      <c r="A11" s="10" t="s">
        <v>129</v>
      </c>
    </row>
    <row r="12" spans="1:1" x14ac:dyDescent="0.2">
      <c r="A12" s="10" t="s">
        <v>130</v>
      </c>
    </row>
    <row r="13" spans="1:1" x14ac:dyDescent="0.2">
      <c r="A13" s="10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05A7-5F71-4D68-A09B-780EE010665E}">
  <dimension ref="A4:I5"/>
  <sheetViews>
    <sheetView tabSelected="1" workbookViewId="0">
      <selection activeCell="F5" sqref="F5"/>
    </sheetView>
  </sheetViews>
  <sheetFormatPr defaultRowHeight="12.75" x14ac:dyDescent="0.2"/>
  <sheetData>
    <row r="4" spans="1:9" ht="60" x14ac:dyDescent="0.2">
      <c r="A4" s="11" t="s">
        <v>133</v>
      </c>
      <c r="B4" s="11" t="s">
        <v>134</v>
      </c>
      <c r="C4" s="11" t="s">
        <v>135</v>
      </c>
      <c r="D4" s="11" t="s">
        <v>136</v>
      </c>
      <c r="E4" s="11" t="s">
        <v>137</v>
      </c>
      <c r="F4" s="11" t="s">
        <v>138</v>
      </c>
      <c r="G4" s="11" t="s">
        <v>139</v>
      </c>
      <c r="H4" s="11" t="s">
        <v>140</v>
      </c>
      <c r="I4" s="12" t="s">
        <v>141</v>
      </c>
    </row>
    <row r="5" spans="1:9" ht="30" x14ac:dyDescent="0.2">
      <c r="A5" s="11">
        <v>0.28000000000000003</v>
      </c>
      <c r="B5" s="11">
        <v>8.52</v>
      </c>
      <c r="C5" s="11">
        <v>220</v>
      </c>
      <c r="D5" s="11">
        <v>70</v>
      </c>
      <c r="E5" s="11" t="s">
        <v>142</v>
      </c>
      <c r="F5" s="11">
        <v>0.17</v>
      </c>
      <c r="G5" s="11" t="s">
        <v>143</v>
      </c>
      <c r="H5" s="11" t="s">
        <v>144</v>
      </c>
      <c r="I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VASCHE</vt:lpstr>
      <vt:lpstr>QUALITA</vt:lpstr>
      <vt:lpstr>ANALISI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AndreaPerenzoni</dc:creator>
  <cp:lastModifiedBy>Andrea Perenzoni</cp:lastModifiedBy>
  <dcterms:created xsi:type="dcterms:W3CDTF">2026-07-10T08:21:27Z</dcterms:created>
  <dcterms:modified xsi:type="dcterms:W3CDTF">2026-07-14T06:54:09Z</dcterms:modified>
</cp:coreProperties>
</file>